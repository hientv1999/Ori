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NRE" sheetId="3" state="visible" r:id="rId3"/>
    <sheet xmlns:r="http://schemas.openxmlformats.org/officeDocument/2006/relationships" name="Market Comps" sheetId="4" state="visible" r:id="rId4"/>
    <sheet xmlns:r="http://schemas.openxmlformats.org/officeDocument/2006/relationships" name="Pricing Waterfall" sheetId="5" state="visible" r:id="rId5"/>
    <sheet xmlns:r="http://schemas.openxmlformats.org/officeDocument/2006/relationships" name="Alternative Prices" sheetId="6" state="visible" r:id="rId6"/>
    <sheet xmlns:r="http://schemas.openxmlformats.org/officeDocument/2006/relationships" name="Open Items" sheetId="7" state="visible" r:id="rId7"/>
  </sheets>
  <definedNames>
    <definedName name="FX_RATE">Assumptions!$B$5</definedName>
    <definedName name="BATCH_SIZE">Assumptions!$B$6</definedName>
    <definedName name="PLATFORM_FEE">Assumptions!$B$7</definedName>
    <definedName name="SELL_PRICE">Assumptions!$B$8</definedName>
    <definedName name="BOM_MIDPOINT">BOM!$D$10</definedName>
    <definedName name="NRE_PER_UNIT_MID">NRE!$B$11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C$&quot;#,##0.00"/>
    <numFmt numFmtId="166" formatCode="&quot;$&quot;#,##0.00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FFFFFF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5" borderId="1" pivotButton="0" quotePrefix="0" xfId="0"/>
    <xf numFmtId="165" fontId="4" fillId="5" borderId="1" pivotButton="0" quotePrefix="0" xfId="0"/>
    <xf numFmtId="166" fontId="4" fillId="5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165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1" pivotButton="0" quotePrefix="0" xfId="0"/>
    <xf numFmtId="164" fontId="5" fillId="0" borderId="1" pivotButton="0" quotePrefix="0" xfId="0"/>
    <xf numFmtId="0" fontId="0" fillId="5" borderId="1" pivotButton="0" quotePrefix="0" xfId="0"/>
    <xf numFmtId="0" fontId="4" fillId="4" borderId="1" pivotButton="0" quotePrefix="0" xfId="0"/>
    <xf numFmtId="165" fontId="4" fillId="4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60" customWidth="1" min="3" max="3"/>
  </cols>
  <sheetData>
    <row r="1" ht="22" customHeight="1">
      <c r="A1" s="1" t="inlineStr">
        <is>
          <t>Ori — Pricing Assumptions</t>
        </is>
      </c>
    </row>
    <row r="2">
      <c r="A2" s="2" t="inlineStr">
        <is>
          <t>Edit the yellow cells — every other sheet recalculates from these.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FX rate (1 USD in CAD)</t>
        </is>
      </c>
      <c r="B5" s="5" t="n">
        <v>1.41</v>
      </c>
      <c r="C5" s="4" t="inlineStr">
        <is>
          <t>Bank of Canada / US Fed H.10, 2026-07-11</t>
        </is>
      </c>
    </row>
    <row r="6">
      <c r="A6" s="4" t="inlineStr">
        <is>
          <t>Batch size (units)</t>
        </is>
      </c>
      <c r="B6" s="5" t="n">
        <v>100</v>
      </c>
      <c r="C6" s="4" t="inlineStr">
        <is>
          <t>Initial pilot batch</t>
        </is>
      </c>
    </row>
    <row r="7">
      <c r="A7" s="4" t="inlineStr">
        <is>
          <t>Platform + payment processing fee (%)</t>
        </is>
      </c>
      <c r="B7" s="6" t="n">
        <v>0.09</v>
      </c>
      <c r="C7" s="4" t="inlineStr">
        <is>
          <t>Kickstarter/Indiegogo blended ~8-10%</t>
        </is>
      </c>
    </row>
    <row r="8">
      <c r="A8" s="4" t="inlineStr">
        <is>
          <t>Chosen sell price (CAD)</t>
        </is>
      </c>
      <c r="B8" s="7" t="n">
        <v>150</v>
      </c>
      <c r="C8" s="4" t="inlineStr">
        <is>
          <t>Set below the direct-comp floor (see Market Comps)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</cols>
  <sheetData>
    <row r="1" ht="22" customHeight="1">
      <c r="A1" s="1" t="inlineStr">
        <is>
          <t>Ori — Bill of Materials (per unit @ qty 100)</t>
        </is>
      </c>
    </row>
    <row r="2">
      <c r="A2" s="2" t="inlineStr">
        <is>
          <t>Status: working estimate, not a supplier quote, except the confirmed line below.</t>
        </is>
      </c>
    </row>
    <row r="4">
      <c r="A4" s="8" t="inlineStr">
        <is>
          <t>Component</t>
        </is>
      </c>
      <c r="B4" s="8" t="inlineStr">
        <is>
          <t>Low (CAD)</t>
        </is>
      </c>
      <c r="C4" s="8" t="inlineStr">
        <is>
          <t>High (CAD)</t>
        </is>
      </c>
      <c r="D4" s="8" t="inlineStr">
        <is>
          <t>Midpoint (CAD)</t>
        </is>
      </c>
      <c r="E4" s="8" t="inlineStr">
        <is>
          <t>Low (USD)</t>
        </is>
      </c>
      <c r="F4" s="8" t="inlineStr">
        <is>
          <t>High (USD)</t>
        </is>
      </c>
      <c r="G4" s="8" t="inlineStr">
        <is>
          <t>Status</t>
        </is>
      </c>
    </row>
    <row r="5">
      <c r="A5" s="9" t="inlineStr">
        <is>
          <t>Waveshare ESP32-S3-Touch-LCD-4.3 module (16MB flash/8MB PSRAM, GT911 touch, CH422G, ST7701 LCD, USB-C)</t>
        </is>
      </c>
      <c r="B5" s="10" t="n">
        <v>38.59</v>
      </c>
      <c r="C5" s="10" t="n">
        <v>38.59</v>
      </c>
      <c r="D5" s="10">
        <f>AVERAGE(B5:C5)</f>
        <v/>
      </c>
      <c r="E5" s="11">
        <f>B5/Assumptions!$B$5</f>
        <v/>
      </c>
      <c r="F5" s="11">
        <f>C5/Assumptions!$B$5</f>
        <v/>
      </c>
      <c r="G5" s="9" t="inlineStr">
        <is>
          <t>Confirmed quote</t>
        </is>
      </c>
    </row>
    <row r="6">
      <c r="A6" s="4" t="inlineStr">
        <is>
          <t>Enclosure — in-house FDM 3D print (filament + print time + post-processing labor)</t>
        </is>
      </c>
      <c r="B6" s="12" t="n">
        <v>9</v>
      </c>
      <c r="C6" s="12" t="n">
        <v>15</v>
      </c>
      <c r="D6" s="12">
        <f>AVERAGE(B6:C6)</f>
        <v/>
      </c>
      <c r="E6" s="13">
        <f>B6/Assumptions!$B$5</f>
        <v/>
      </c>
      <c r="F6" s="13">
        <f>C6/Assumptions!$B$5</f>
        <v/>
      </c>
      <c r="G6" s="4" t="inlineStr">
        <is>
          <t>Estimate</t>
        </is>
      </c>
    </row>
    <row r="7">
      <c r="A7" s="4" t="inlineStr">
        <is>
          <t>Feet, screws, stand hardware</t>
        </is>
      </c>
      <c r="B7" s="12" t="n">
        <v>1</v>
      </c>
      <c r="C7" s="12" t="n">
        <v>3</v>
      </c>
      <c r="D7" s="12">
        <f>AVERAGE(B7:C7)</f>
        <v/>
      </c>
      <c r="E7" s="13">
        <f>B7/Assumptions!$B$5</f>
        <v/>
      </c>
      <c r="F7" s="13">
        <f>C7/Assumptions!$B$5</f>
        <v/>
      </c>
      <c r="G7" s="4" t="inlineStr">
        <is>
          <t>Estimate</t>
        </is>
      </c>
    </row>
    <row r="8">
      <c r="A8" s="4" t="inlineStr">
        <is>
          <t>Retail packaging (box, insert, quick-start card)</t>
        </is>
      </c>
      <c r="B8" s="12" t="n">
        <v>4</v>
      </c>
      <c r="C8" s="12" t="n">
        <v>7</v>
      </c>
      <c r="D8" s="12">
        <f>AVERAGE(B8:C8)</f>
        <v/>
      </c>
      <c r="E8" s="13">
        <f>B8/Assumptions!$B$5</f>
        <v/>
      </c>
      <c r="F8" s="13">
        <f>C8/Assumptions!$B$5</f>
        <v/>
      </c>
      <c r="G8" s="4" t="inlineStr">
        <is>
          <t>Estimate</t>
        </is>
      </c>
    </row>
    <row r="9">
      <c r="A9" s="4" t="inlineStr">
        <is>
          <t>Assembly + firmware flash + QC labor (~20-25 min/unit)</t>
        </is>
      </c>
      <c r="B9" s="12" t="n">
        <v>8</v>
      </c>
      <c r="C9" s="12" t="n">
        <v>14</v>
      </c>
      <c r="D9" s="12">
        <f>AVERAGE(B9:C9)</f>
        <v/>
      </c>
      <c r="E9" s="13">
        <f>B9/Assumptions!$B$5</f>
        <v/>
      </c>
      <c r="F9" s="13">
        <f>C9/Assumptions!$B$5</f>
        <v/>
      </c>
      <c r="G9" s="4" t="inlineStr">
        <is>
          <t>Estimate</t>
        </is>
      </c>
    </row>
    <row r="10">
      <c r="A10" s="14" t="inlineStr">
        <is>
          <t>TOTAL — per-unit landed cost</t>
        </is>
      </c>
      <c r="B10" s="15">
        <f>SUM(B5:B9)</f>
        <v/>
      </c>
      <c r="C10" s="15">
        <f>SUM(C5:C9)</f>
        <v/>
      </c>
      <c r="D10" s="15">
        <f>AVERAGE(B10:C10)</f>
        <v/>
      </c>
      <c r="E10" s="16">
        <f>B10/Assumptions!$B$5</f>
        <v/>
      </c>
      <c r="F10" s="16">
        <f>C10/Assumptions!$B$5</f>
        <v/>
      </c>
      <c r="G10" s="14" t="n"/>
    </row>
    <row r="12">
      <c r="A12" s="17" t="inlineStr">
        <is>
          <t>Explicitly excluded (decided in planning):</t>
        </is>
      </c>
    </row>
    <row r="13">
      <c r="A13" t="inlineStr">
        <is>
          <t>• LiPo backup battery — skipped. hardware.md specs firmware/UI to behave as if no battery exists.</t>
        </is>
      </c>
    </row>
    <row r="14">
      <c r="A14" t="inlineStr">
        <is>
          <t>• USB-C cable — not shipped (BYO-cable).</t>
        </is>
      </c>
    </row>
    <row r="15">
      <c r="A15" t="inlineStr">
        <is>
          <t>• USB-C wall adapter — not shipped (BYO-charger).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70" customWidth="1" min="4" max="4"/>
  </cols>
  <sheetData>
    <row r="1" ht="22" customHeight="1">
      <c r="A1" s="1" t="inlineStr">
        <is>
          <t>Ori — One-Time Costs (NRE)</t>
        </is>
      </c>
    </row>
    <row r="2">
      <c r="A2" s="2" t="inlineStr">
        <is>
          <t>Not per-unit. Amortized across the batch size set in Assumptions.</t>
        </is>
      </c>
    </row>
    <row r="4">
      <c r="A4" s="8" t="inlineStr">
        <is>
          <t>Item</t>
        </is>
      </c>
      <c r="B4" s="8" t="inlineStr">
        <is>
          <t>Low (CAD)</t>
        </is>
      </c>
      <c r="C4" s="8" t="inlineStr">
        <is>
          <t>High (CAD)</t>
        </is>
      </c>
      <c r="D4" s="8" t="inlineStr">
        <is>
          <t>Notes</t>
        </is>
      </c>
    </row>
    <row r="5" ht="60" customHeight="1">
      <c r="A5" s="4" t="inlineStr">
        <is>
          <t>FCC / ISED / CE certification</t>
        </is>
      </c>
      <c r="B5" s="12" t="n">
        <v>2800</v>
      </c>
      <c r="C5" s="12" t="n">
        <v>5600</v>
      </c>
      <c r="D5" s="18" t="inlineStr">
        <is>
          <t>Reduced scope — ESP32-S3 module carries Espressif's own modular radio grant. Finished-product filing still needs Part 15B unintentional-emissions testing on the assembled device + verification the module was integrated per its grant conditions. Every wireless competitor (TRMNL, Divoom, Skylight, Kuando) filed for the assembled device, not just the radio chip.</t>
        </is>
      </c>
    </row>
    <row r="6" ht="60" customHeight="1">
      <c r="A6" s="4" t="inlineStr">
        <is>
          <t>Enclosure tooling</t>
        </is>
      </c>
      <c r="B6" s="12" t="n">
        <v>0</v>
      </c>
      <c r="C6" s="12" t="n">
        <v>0</v>
      </c>
      <c r="D6" s="18" t="inlineStr">
        <is>
          <t>In-house FDM 3D printing — no CNC programming or injection-mold tooling for this batch.</t>
        </is>
      </c>
    </row>
    <row r="7">
      <c r="A7" s="14" t="inlineStr">
        <is>
          <t>TOTAL NRE</t>
        </is>
      </c>
      <c r="B7" s="15">
        <f>SUM(B5:B6)</f>
        <v/>
      </c>
      <c r="C7" s="15">
        <f>SUM(C5:C6)</f>
        <v/>
      </c>
    </row>
    <row r="9">
      <c r="A9" s="17" t="inlineStr">
        <is>
          <t>Amortized per unit (low)</t>
        </is>
      </c>
      <c r="B9" s="19">
        <f>B7/Assumptions!$B$6</f>
        <v/>
      </c>
    </row>
    <row r="10">
      <c r="A10" s="17" t="inlineStr">
        <is>
          <t>Amortized per unit (high)</t>
        </is>
      </c>
      <c r="B10" s="19">
        <f>C7/Assumptions!$B$6</f>
        <v/>
      </c>
    </row>
    <row r="11">
      <c r="A11" s="17" t="inlineStr">
        <is>
          <t>Amortized per unit (midpoint)</t>
        </is>
      </c>
      <c r="B11" s="19">
        <f>AVERAGE(B9:B10)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4" customWidth="1" min="4" max="4"/>
    <col width="14" customWidth="1" min="5" max="5"/>
    <col width="22" customWidth="1" min="6" max="6"/>
  </cols>
  <sheetData>
    <row r="1" ht="22" customHeight="1">
      <c r="A1" s="1" t="inlineStr">
        <is>
          <t>Ori — Market Comps (converted to CAD)</t>
        </is>
      </c>
    </row>
    <row r="2">
      <c r="A2" s="2" t="inlineStr">
        <is>
          <t>FX rate pulled live from Assumptions sheet.</t>
        </is>
      </c>
    </row>
    <row r="4">
      <c r="A4" s="8" t="inlineStr">
        <is>
          <t>Product</t>
        </is>
      </c>
      <c r="B4" s="8" t="inlineStr">
        <is>
          <t>Category</t>
        </is>
      </c>
      <c r="C4" s="8" t="inlineStr">
        <is>
          <t>Radio</t>
        </is>
      </c>
      <c r="D4" s="8" t="inlineStr">
        <is>
          <t>Price CAD (low)</t>
        </is>
      </c>
      <c r="E4" s="8" t="inlineStr">
        <is>
          <t>Price CAD (high)</t>
        </is>
      </c>
      <c r="F4" s="8" t="inlineStr">
        <is>
          <t>Certified?</t>
        </is>
      </c>
    </row>
    <row r="5">
      <c r="A5" s="4" t="inlineStr">
        <is>
          <t>Luxafor Flag</t>
        </is>
      </c>
      <c r="B5" s="4" t="inlineStr">
        <is>
          <t>Presence light, no display</t>
        </is>
      </c>
      <c r="C5" s="4" t="inlineStr">
        <is>
          <t>None (wired USB)</t>
        </is>
      </c>
      <c r="D5" s="12" t="n">
        <v>61</v>
      </c>
      <c r="E5" s="12" t="n">
        <v>61</v>
      </c>
      <c r="F5" s="4" t="inlineStr">
        <is>
          <t>N/A (no radiator)</t>
        </is>
      </c>
    </row>
    <row r="6">
      <c r="A6" s="4" t="inlineStr">
        <is>
          <t>Kuando Busylight</t>
        </is>
      </c>
      <c r="B6" s="4" t="inlineStr">
        <is>
          <t>Presence light, no display</t>
        </is>
      </c>
      <c r="C6" s="4" t="inlineStr">
        <is>
          <t>Yes</t>
        </is>
      </c>
      <c r="D6" s="12" t="n">
        <v>66</v>
      </c>
      <c r="E6" s="12" t="n">
        <v>78</v>
      </c>
      <c r="F6" s="4" t="inlineStr">
        <is>
          <t>FCC 2AYIK1582</t>
        </is>
      </c>
    </row>
    <row r="7">
      <c r="A7" s="4" t="inlineStr">
        <is>
          <t>Divoom Times Gate</t>
        </is>
      </c>
      <c r="B7" s="4" t="inlineStr">
        <is>
          <t>Desk info display (clock/weather/notifs)</t>
        </is>
      </c>
      <c r="C7" s="4" t="inlineStr">
        <is>
          <t>WiFi</t>
        </is>
      </c>
      <c r="D7" s="12" t="n">
        <v>183</v>
      </c>
      <c r="E7" s="12" t="n">
        <v>212</v>
      </c>
      <c r="F7" s="4" t="inlineStr">
        <is>
          <t>FCC A8I-TIMES-GATE</t>
        </is>
      </c>
    </row>
    <row r="8">
      <c r="A8" s="4" t="inlineStr">
        <is>
          <t>TRMNL (OG)</t>
        </is>
      </c>
      <c r="B8" s="4" t="inlineStr">
        <is>
          <t>7.5" e-ink desk dashboard, indie</t>
        </is>
      </c>
      <c r="C8" s="4" t="inlineStr">
        <is>
          <t>WiFi</t>
        </is>
      </c>
      <c r="D8" s="12" t="n">
        <v>196</v>
      </c>
      <c r="E8" s="12" t="n">
        <v>217</v>
      </c>
      <c r="F8" s="4" t="inlineStr">
        <is>
          <t>FCC 2BFWO-OG</t>
        </is>
      </c>
    </row>
    <row r="9">
      <c r="A9" s="4" t="inlineStr">
        <is>
          <t>Divoom Ditoo</t>
        </is>
      </c>
      <c r="B9" s="4" t="inlineStr">
        <is>
          <t>Pixel display + speaker</t>
        </is>
      </c>
      <c r="C9" s="4" t="inlineStr">
        <is>
          <t>BT</t>
        </is>
      </c>
      <c r="D9" s="12" t="n">
        <v>226</v>
      </c>
      <c r="E9" s="12" t="n">
        <v>226</v>
      </c>
      <c r="F9" s="4" t="inlineStr">
        <is>
          <t>Yes (Divoom A8I grantee)</t>
        </is>
      </c>
    </row>
    <row r="10">
      <c r="A10" s="4" t="inlineStr">
        <is>
          <t>Skylight Calendar (15")</t>
        </is>
      </c>
      <c r="B10" s="4" t="inlineStr">
        <is>
          <t>Large touchscreen family hub + subscription</t>
        </is>
      </c>
      <c r="C10" s="4" t="inlineStr">
        <is>
          <t>WiFi</t>
        </is>
      </c>
      <c r="D10" s="12" t="n">
        <v>268</v>
      </c>
      <c r="E10" s="12" t="n">
        <v>282</v>
      </c>
      <c r="F10" s="4" t="inlineStr">
        <is>
          <t>FCC 2AABK-150</t>
        </is>
      </c>
    </row>
    <row r="11">
      <c r="A11" s="4" t="inlineStr">
        <is>
          <t>TRMNL X</t>
        </is>
      </c>
      <c r="B11" s="4" t="inlineStr">
        <is>
          <t>10.3" e-ink, larger</t>
        </is>
      </c>
      <c r="C11" s="4" t="inlineStr">
        <is>
          <t>WiFi</t>
        </is>
      </c>
      <c r="D11" s="12" t="n">
        <v>309</v>
      </c>
      <c r="E11" s="12" t="n">
        <v>309</v>
      </c>
      <c r="F11" s="4" t="inlineStr">
        <is>
          <t>—</t>
        </is>
      </c>
    </row>
    <row r="13" ht="30" customHeight="1">
      <c r="A13" s="20" t="inlineStr">
        <is>
          <t>Ori's honest peer group: Divoom Times Gate / TRMNL tier (~C$183-217) — small desk companion display, calendar/status/notifications, no forced subscription, indie/first-batch.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</cols>
  <sheetData>
    <row r="1" ht="22" customHeight="1">
      <c r="A1" s="1" t="inlineStr">
        <is>
          <t>Ori — Per-Unit Profit Waterfall</t>
        </is>
      </c>
    </row>
    <row r="2">
      <c r="A2" s="2" t="inlineStr">
        <is>
          <t>Sell price, fee %, batch size, and FX all pull live from Assumptions.</t>
        </is>
      </c>
    </row>
    <row r="4">
      <c r="A4" s="8" t="inlineStr">
        <is>
          <t>Line</t>
        </is>
      </c>
      <c r="B4" s="8" t="inlineStr">
        <is>
          <t>Amount (CAD)</t>
        </is>
      </c>
      <c r="C4" s="8" t="inlineStr">
        <is>
          <t>Running total (CAD)</t>
        </is>
      </c>
    </row>
    <row r="5">
      <c r="A5" s="4" t="inlineStr">
        <is>
          <t>Sell price</t>
        </is>
      </c>
      <c r="B5" s="12">
        <f>Assumptions!$B$8</f>
        <v/>
      </c>
      <c r="C5" s="12">
        <f>B5</f>
        <v/>
      </c>
    </row>
    <row r="6">
      <c r="A6" s="4" t="inlineStr">
        <is>
          <t>BOM (midpoint)</t>
        </is>
      </c>
      <c r="B6" s="12">
        <f>-BOM!$D$10</f>
        <v/>
      </c>
      <c r="C6" s="12">
        <f>C5+B6</f>
        <v/>
      </c>
    </row>
    <row r="7">
      <c r="A7" s="21" t="inlineStr">
        <is>
          <t>Gross margin % (before fees/NRE)</t>
        </is>
      </c>
      <c r="B7" s="22">
        <f>C6/Assumptions!$B$8</f>
        <v/>
      </c>
      <c r="C7" s="4" t="n"/>
    </row>
    <row r="8">
      <c r="A8" s="4" t="inlineStr">
        <is>
          <t>Crowdfunding platform + payment fees</t>
        </is>
      </c>
      <c r="B8" s="12">
        <f>-Assumptions!$B$8*Assumptions!$B$7</f>
        <v/>
      </c>
      <c r="C8" s="12">
        <f>C6+B8</f>
        <v/>
      </c>
    </row>
    <row r="9">
      <c r="A9" s="4" t="inlineStr">
        <is>
          <t>NRE amortization (certification, midpoint)</t>
        </is>
      </c>
      <c r="B9" s="12">
        <f>-NRE!$B$11</f>
        <v/>
      </c>
      <c r="C9" s="12">
        <f>C8+B9</f>
        <v/>
      </c>
    </row>
    <row r="10">
      <c r="A10" s="14" t="inlineStr">
        <is>
          <t>NET PER UNIT (backer pays shipping)</t>
        </is>
      </c>
      <c r="B10" s="23" t="n"/>
      <c r="C10" s="15">
        <f>C9</f>
        <v/>
      </c>
    </row>
    <row r="12">
      <c r="A12" s="24" t="inlineStr">
        <is>
          <t>NET OVER BATCH</t>
        </is>
      </c>
      <c r="B12" s="9" t="n"/>
      <c r="C12" s="25">
        <f>C10*Assumptions!$B$6</f>
        <v/>
      </c>
    </row>
    <row r="14" ht="90" customHeight="1">
      <c r="A14" s="26" t="inlineStr">
        <is>
          <t>Key insight — certification is the margin killer at 100 units, not the BOM. Spreading C$2,800-5,600 of certification across only 100 units costs C$28-56/unit. Three ways to handle it: (1) treat certification as R&amp;D recovered over future batches — recommended if the goal is validation; (2) run a larger campaign (300-500 units) so certification amortizes to C$6-19/unit; (3) beta/founder batch, uncertified, sold informally to friends/early adopters only.</t>
        </is>
      </c>
    </row>
  </sheetData>
  <mergeCells count="3">
    <mergeCell ref="A1:C1"/>
    <mergeCell ref="A14:C1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70" customWidth="1" min="3" max="3"/>
  </cols>
  <sheetData>
    <row r="1" ht="22" customHeight="1">
      <c r="A1" s="1" t="inlineStr">
        <is>
          <t>Ori — Alternative Price Points</t>
        </is>
      </c>
    </row>
    <row r="2">
      <c r="A2" s="2" t="inlineStr">
        <is>
          <t>Gross margin vs. BOM midpoint, before platform fees / NRE.</t>
        </is>
      </c>
    </row>
    <row r="4">
      <c r="A4" s="8" t="inlineStr">
        <is>
          <t>Price (CAD)</t>
        </is>
      </c>
      <c r="B4" s="8" t="inlineStr">
        <is>
          <t>Gross margin %</t>
        </is>
      </c>
      <c r="C4" s="8" t="inlineStr">
        <is>
          <t>Note</t>
        </is>
      </c>
    </row>
    <row r="5">
      <c r="A5" s="12" t="n">
        <v>150</v>
      </c>
      <c r="B5" s="27">
        <f>(A5-BOM!$D$10)/A5</f>
        <v/>
      </c>
      <c r="C5" s="4" t="inlineStr">
        <is>
          <t>Chosen. Undercuts entire comp tier; thin after NRE at 100 units.</t>
        </is>
      </c>
    </row>
    <row r="6">
      <c r="A6" s="12" t="n">
        <v>179</v>
      </c>
      <c r="B6" s="27">
        <f>(A6-BOM!$D$10)/A6</f>
        <v/>
      </c>
      <c r="C6" s="4" t="inlineStr">
        <is>
          <t>Smallest bump giving real headroom for NRE/shipping/returns; still under every comp.</t>
        </is>
      </c>
    </row>
    <row r="7">
      <c r="A7" s="12" t="n">
        <v>199</v>
      </c>
      <c r="B7" s="27">
        <f>(A7-BOM!$D$10)/A7</f>
        <v/>
      </c>
      <c r="C7" s="4" t="inlineStr">
        <is>
          <t>Standard DTC-hardware margin; aligns with Times Gate/TRMNL comp tier.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Ori — Open Items Before Finalizing</t>
        </is>
      </c>
    </row>
    <row r="2">
      <c r="A2" s="2" t="inlineStr">
        <is>
          <t>Checklist.</t>
        </is>
      </c>
    </row>
    <row r="4" ht="18" customHeight="1">
      <c r="A4" t="inlineStr">
        <is>
          <t>☐  Get real quotes for the soft-estimate lines: enclosure filament/labor, packaging, hardware kit.</t>
        </is>
      </c>
    </row>
    <row r="5" ht="18" customHeight="1">
      <c r="A5" t="inlineStr">
        <is>
          <t>☐  Confirm assembly/QC labor rate against actual per-unit build time.</t>
        </is>
      </c>
    </row>
    <row r="6" ht="18" customHeight="1">
      <c r="A6" t="inlineStr">
        <is>
          <t>☐  Get a firm certification quote from an accredited lab (FCC + ISED bundle) — this dominates the NRE and the batch-one margin.</t>
        </is>
      </c>
    </row>
    <row r="7" ht="18" customHeight="1">
      <c r="A7" t="inlineStr">
        <is>
          <t>☐  Decide certification strategy (R&amp;D-amortized / larger batch / uncertified beta).</t>
        </is>
      </c>
    </row>
    <row r="8" ht="18" customHeight="1">
      <c r="A8" t="inlineStr">
        <is>
          <t>☐  Re-check FX before committing to USD purchase orders.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2026-07-12T00:11:15Z</dcterms:created>
  <dcterms:modified xmlns:dcterms="http://purl.org/dc/terms/" xmlns:xsi="http://www.w3.org/2001/XMLSchema-instance" xsi:type="dcterms:W3CDTF">2026-07-12T00:11:15Z</dcterms:modified>
</cp:coreProperties>
</file>